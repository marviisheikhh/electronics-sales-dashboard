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aa2410802fe23717/Pictures/1x/"/>
    </mc:Choice>
  </mc:AlternateContent>
  <xr:revisionPtr revIDLastSave="0" documentId="8_{A7D3FA96-74CE-4806-AC89-60AF8B6F4679}" xr6:coauthVersionLast="47" xr6:coauthVersionMax="47" xr10:uidLastSave="{00000000-0000-0000-0000-000000000000}"/>
  <bookViews>
    <workbookView xWindow="-120" yWindow="-120" windowWidth="20730" windowHeight="11160" xr2:uid="{4C3A1F48-05FF-432F-90A0-20049216DBEB}"/>
  </bookViews>
  <sheets>
    <sheet name="Raw Data" sheetId="1" r:id="rId1"/>
    <sheet name="Pivot tables" sheetId="3" r:id="rId2"/>
    <sheet name="Dashboard" sheetId="2" r:id="rId3"/>
  </sheets>
  <definedNames>
    <definedName name="Slicer_Category">#N/A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<sst xmlns="http://schemas.openxmlformats.org/spreadsheetml/2006/main" count="128" uniqueCount="70">
  <si>
    <t>Date</t>
  </si>
  <si>
    <t>Region</t>
  </si>
  <si>
    <t>Salesperson</t>
  </si>
  <si>
    <t>Category</t>
  </si>
  <si>
    <t>Product</t>
  </si>
  <si>
    <t>Units Sold</t>
  </si>
  <si>
    <t>Unit Price</t>
  </si>
  <si>
    <t>Total Sales</t>
  </si>
  <si>
    <t>O1001</t>
  </si>
  <si>
    <t>Karachi</t>
  </si>
  <si>
    <t>Ali</t>
  </si>
  <si>
    <t>Laptop</t>
  </si>
  <si>
    <t>Dell Inspiron</t>
  </si>
  <si>
    <t>O1002</t>
  </si>
  <si>
    <t>Lahore</t>
  </si>
  <si>
    <t>Sara</t>
  </si>
  <si>
    <t>Mobile</t>
  </si>
  <si>
    <t>Samsung A55</t>
  </si>
  <si>
    <t>O1003</t>
  </si>
  <si>
    <t>Islamabad</t>
  </si>
  <si>
    <t>Ahmed</t>
  </si>
  <si>
    <t>Tablet</t>
  </si>
  <si>
    <t>iPad Air</t>
  </si>
  <si>
    <t>O1004</t>
  </si>
  <si>
    <t>Fatima</t>
  </si>
  <si>
    <t>Accessories</t>
  </si>
  <si>
    <t>Keyboard</t>
  </si>
  <si>
    <t>O1005</t>
  </si>
  <si>
    <t>Peshawar</t>
  </si>
  <si>
    <t>Bilal</t>
  </si>
  <si>
    <t>HP Pavilion</t>
  </si>
  <si>
    <t>O1006</t>
  </si>
  <si>
    <t>iPhone 15</t>
  </si>
  <si>
    <t>O1007</t>
  </si>
  <si>
    <t>Mouse</t>
  </si>
  <si>
    <t>O1008</t>
  </si>
  <si>
    <t>Lenovo ThinkPad</t>
  </si>
  <si>
    <t>O1009</t>
  </si>
  <si>
    <t>Quetta</t>
  </si>
  <si>
    <t>Samsung Tab</t>
  </si>
  <si>
    <t>O1010</t>
  </si>
  <si>
    <t>Redmi Note</t>
  </si>
  <si>
    <t>O1011</t>
  </si>
  <si>
    <t>MacBook Air</t>
  </si>
  <si>
    <t>O1012</t>
  </si>
  <si>
    <t>Headphones</t>
  </si>
  <si>
    <t>O1013</t>
  </si>
  <si>
    <t>Vivo V40</t>
  </si>
  <si>
    <t>O1014</t>
  </si>
  <si>
    <t>Acer Aspire</t>
  </si>
  <si>
    <t>O1015</t>
  </si>
  <si>
    <t>Lenovo Tab</t>
  </si>
  <si>
    <t>O1016</t>
  </si>
  <si>
    <t>Oppo Reno</t>
  </si>
  <si>
    <t>O1017</t>
  </si>
  <si>
    <t>Webcam</t>
  </si>
  <si>
    <t>O1018</t>
  </si>
  <si>
    <t>ASUS Vivobook</t>
  </si>
  <si>
    <t>O1019</t>
  </si>
  <si>
    <t>Realme 14</t>
  </si>
  <si>
    <t>O1020</t>
  </si>
  <si>
    <t>USB Hub</t>
  </si>
  <si>
    <t>Order ID</t>
  </si>
  <si>
    <t>Row Labels</t>
  </si>
  <si>
    <t>Grand Total</t>
  </si>
  <si>
    <t>Sum of Total Sales</t>
  </si>
  <si>
    <t xml:space="preserve">                                                                            ELECTRONICS SALES DASHBOARD</t>
  </si>
  <si>
    <t>January Month Expense</t>
  </si>
  <si>
    <t>Sales By Region</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</si>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</sst>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
      <b/>
      <sz val="18"/>
      <color theme="1"/>
      <name val="Aptos Narrow"/>
      <family val="2"/>
      <scheme val="minor"/>
    </font>
    <font>
      <b/>
      <sz val="12"/>
      <color theme="1" tint="0.34998626667073579"/>
      <name val="Aptos Narrow"/>
      <family val="2"/>
      <scheme val="minor"/>
    </font>
    <font>
      <sz val="18"/>
      <color theme="1"/>
      <name val="Aptos Narrow"/>
      <family val="2"/>
      <scheme val="minor"/>
    </font>
    <font>
      <b/>
      <sz val="16"/>
      <color theme="2"/>
      <name val="Aptos Narrow"/>
      <family val="2"/>
      <scheme val="minor"/>
    </font>
    <font>
      <b/>
      <sz val="22"/>
      <color theme="2"/>
      <name val="Aptos Narrow"/>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5" fillId="0" borderId="0" xfId="0" applyFont="1"/>
    <xf numFmtId="0" fontId="5" fillId="0" borderId="0" xfId="0" applyFont="1" applyAlignment="1"/>
    <xf numFmtId="43" fontId="4" fillId="0" borderId="0" xfId="1" applyFont="1" applyAlignment="1">
      <alignment vertical="center"/>
    </xf>
    <xf numFmtId="0" fontId="6" fillId="0" borderId="0" xfId="0" applyFont="1"/>
    <xf numFmtId="0" fontId="7" fillId="3" borderId="0" xfId="0" applyFont="1" applyFill="1"/>
    <xf numFmtId="0" fontId="8" fillId="2" borderId="0" xfId="0" applyFont="1" applyFill="1"/>
  </cellXfs>
  <cellStyles count="2">
    <cellStyle name="Comma" xfId="1" builtinId="3"/>
    <cellStyle name="Normal" xfId="0" builtinId="0"/>
  </cellStyles>
  <dxfs count="11">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mmm\-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[electronics-sales-dashboard.xlsx]Pivot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tables'!$A$4:$A$9</c:f>
              <c:strCache>
                <c:ptCount val="5"/>
                <c:pt idx="0">
                  <c:v>Islamabad</c:v>
                </c:pt>
                <c:pt idx="1">
                  <c:v>Karachi</c:v>
                </c:pt>
                <c:pt idx="2">
                  <c:v>Lahore</c:v>
                </c:pt>
                <c:pt idx="3">
                  <c:v>Peshawar</c:v>
                </c:pt>
                <c:pt idx="4">
                  <c:v>Quetta</c:v>
                </c:pt>
              </c:strCache>
            </c:strRef>
          </c:cat>
          <c:val>
            <c:numRef>
              <c:f>'Pivot tables'!$B$4:$B$9</c:f>
              <c:numCache>
                <c:formatCode>General</c:formatCode>
                <c:ptCount val="5"/>
                <c:pt idx="0">
                  <c:v>1101500</c:v>
                </c:pt>
                <c:pt idx="1">
                  <c:v>1164000</c:v>
                </c:pt>
                <c:pt idx="2">
                  <c:v>1663000</c:v>
                </c:pt>
                <c:pt idx="3">
                  <c:v>645000</c:v>
                </c:pt>
                <c:pt idx="4">
                  <c:v>968000</c:v>
                </c:pt>
              </c:numCache>
            </c:numRef>
          </c:val>
          <c:extLst>
            <c:ext xmlns:c16="http://schemas.microsoft.com/office/drawing/2014/chart" uri="{C3380CC4-5D6E-409C-BE32-E72D297353CC}">
              <c16:uniqueId val="{00000000-DDCF-4041-A668-7DA5BDFB4339}"/>
            </c:ext>
          </c:extLst>
        </c:ser>
        <c:dLbls>
          <c:dLblPos val="inEnd"/>
          <c:showLegendKey val="0"/>
          <c:showVal val="1"/>
          <c:showCatName val="0"/>
          <c:showSerName val="0"/>
          <c:showPercent val="0"/>
          <c:showBubbleSize val="0"/>
        </c:dLbls>
        <c:gapWidth val="65"/>
        <c:axId val="400550687"/>
        <c:axId val="264036159"/>
      </c:barChart>
      <c:catAx>
        <c:axId val="400550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4036159"/>
        <c:crosses val="autoZero"/>
        <c:auto val="1"/>
        <c:lblAlgn val="ctr"/>
        <c:lblOffset val="100"/>
        <c:noMultiLvlLbl val="0"/>
      </c:catAx>
      <c:valAx>
        <c:axId val="2640361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0055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[electronics-sales-dashboard.xlsx]Pivot 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tables'!$K$10:$K$14</c:f>
              <c:strCache>
                <c:ptCount val="4"/>
                <c:pt idx="0">
                  <c:v>Accessories</c:v>
                </c:pt>
                <c:pt idx="1">
                  <c:v>Laptop</c:v>
                </c:pt>
                <c:pt idx="2">
                  <c:v>Mobile</c:v>
                </c:pt>
                <c:pt idx="3">
                  <c:v>Tablet</c:v>
                </c:pt>
              </c:strCache>
            </c:strRef>
          </c:cat>
          <c:val>
            <c:numRef>
              <c:f>'Pivot tables'!$L$10:$L$14</c:f>
              <c:numCache>
                <c:formatCode>General</c:formatCode>
                <c:ptCount val="4"/>
                <c:pt idx="0">
                  <c:v>275500</c:v>
                </c:pt>
                <c:pt idx="1">
                  <c:v>1678000</c:v>
                </c:pt>
                <c:pt idx="2">
                  <c:v>2498000</c:v>
                </c:pt>
                <c:pt idx="3">
                  <c:v>1090000</c:v>
                </c:pt>
              </c:numCache>
            </c:numRef>
          </c:val>
          <c:extLst>
            <c:ext xmlns:c16="http://schemas.microsoft.com/office/drawing/2014/chart" uri="{C3380CC4-5D6E-409C-BE32-E72D297353CC}">
              <c16:uniqueId val="{00000000-1840-4D8B-9F70-F33394A4DD3D}"/>
            </c:ext>
          </c:extLst>
        </c:ser>
        <c:dLbls>
          <c:dLblPos val="inEnd"/>
          <c:showLegendKey val="0"/>
          <c:showVal val="1"/>
          <c:showCatName val="0"/>
          <c:showSerName val="0"/>
          <c:showPercent val="0"/>
          <c:showBubbleSize val="0"/>
        </c:dLbls>
        <c:gapWidth val="65"/>
        <c:axId val="312280591"/>
        <c:axId val="311804991"/>
      </c:barChart>
      <c:catAx>
        <c:axId val="3122805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1804991"/>
        <c:crosses val="autoZero"/>
        <c:auto val="1"/>
        <c:lblAlgn val="ctr"/>
        <c:lblOffset val="100"/>
        <c:noMultiLvlLbl val="0"/>
      </c:catAx>
      <c:valAx>
        <c:axId val="311804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1228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[electronics-sales-dashboard.xlsx]Pivot tables!PivotTable1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tables'!$A$4:$A$9</c:f>
              <c:strCache>
                <c:ptCount val="5"/>
                <c:pt idx="0">
                  <c:v>Islamabad</c:v>
                </c:pt>
                <c:pt idx="1">
                  <c:v>Karachi</c:v>
                </c:pt>
                <c:pt idx="2">
                  <c:v>Lahore</c:v>
                </c:pt>
                <c:pt idx="3">
                  <c:v>Peshawar</c:v>
                </c:pt>
                <c:pt idx="4">
                  <c:v>Quetta</c:v>
                </c:pt>
              </c:strCache>
            </c:strRef>
          </c:cat>
          <c:val>
            <c:numRef>
              <c:f>'Pivot tables'!$B$4:$B$9</c:f>
              <c:numCache>
                <c:formatCode>General</c:formatCode>
                <c:ptCount val="5"/>
                <c:pt idx="0">
                  <c:v>1101500</c:v>
                </c:pt>
                <c:pt idx="1">
                  <c:v>1164000</c:v>
                </c:pt>
                <c:pt idx="2">
                  <c:v>1663000</c:v>
                </c:pt>
                <c:pt idx="3">
                  <c:v>645000</c:v>
                </c:pt>
                <c:pt idx="4">
                  <c:v>968000</c:v>
                </c:pt>
              </c:numCache>
            </c:numRef>
          </c:val>
          <c:extLst>
            <c:ext xmlns:c16="http://schemas.microsoft.com/office/drawing/2014/chart" uri="{C3380CC4-5D6E-409C-BE32-E72D297353CC}">
              <c16:uniqueId val="{00000000-9363-445D-B59F-3CABB2856C7B}"/>
            </c:ext>
          </c:extLst>
        </c:ser>
        <c:dLbls>
          <c:dLblPos val="inEnd"/>
          <c:showLegendKey val="0"/>
          <c:showVal val="1"/>
          <c:showCatName val="0"/>
          <c:showSerName val="0"/>
          <c:showPercent val="0"/>
          <c:showBubbleSize val="0"/>
        </c:dLbls>
        <c:gapWidth val="65"/>
        <c:axId val="400550687"/>
        <c:axId val="264036159"/>
      </c:barChart>
      <c:catAx>
        <c:axId val="400550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4036159"/>
        <c:crosses val="autoZero"/>
        <c:auto val="1"/>
        <c:lblAlgn val="ctr"/>
        <c:lblOffset val="100"/>
        <c:noMultiLvlLbl val="0"/>
      </c:catAx>
      <c:valAx>
        <c:axId val="264036159"/>
        <c:scaling>
          <c:orientation val="minMax"/>
        </c:scaling>
        <c:delete val="1"/>
        <c:axPos val="l"/>
        <c:numFmt formatCode="General" sourceLinked="1"/>
        <c:majorTickMark val="none"/>
        <c:minorTickMark val="none"/>
        <c:tickLblPos val="nextTo"/>
        <c:crossAx val="40055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[electronics-sales-dashboard.xlsx]Pivot tables!PivotTable2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46162657502864E-2"/>
          <c:y val="0.23024500916897903"/>
          <c:w val="0.94959908361970213"/>
          <c:h val="0.68093998728578531"/>
        </c:manualLayout>
      </c:layout>
      <c:barChart>
        <c:barDir val="col"/>
        <c:grouping val="clustered"/>
        <c:varyColors val="0"/>
        <c:ser>
          <c:idx val="0"/>
          <c:order val="0"/>
          <c:tx>
            <c:strRef>
              <c:f>'Pivot tables'!$L$9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tables'!$K$10:$K$14</c:f>
              <c:strCache>
                <c:ptCount val="4"/>
                <c:pt idx="0">
                  <c:v>Accessories</c:v>
                </c:pt>
                <c:pt idx="1">
                  <c:v>Laptop</c:v>
                </c:pt>
                <c:pt idx="2">
                  <c:v>Mobile</c:v>
                </c:pt>
                <c:pt idx="3">
                  <c:v>Tablet</c:v>
                </c:pt>
              </c:strCache>
            </c:strRef>
          </c:cat>
          <c:val>
            <c:numRef>
              <c:f>'Pivot tables'!$L$10:$L$14</c:f>
              <c:numCache>
                <c:formatCode>General</c:formatCode>
                <c:ptCount val="4"/>
                <c:pt idx="0">
                  <c:v>275500</c:v>
                </c:pt>
                <c:pt idx="1">
                  <c:v>1678000</c:v>
                </c:pt>
                <c:pt idx="2">
                  <c:v>2498000</c:v>
                </c:pt>
                <c:pt idx="3">
                  <c:v>1090000</c:v>
                </c:pt>
              </c:numCache>
            </c:numRef>
          </c:val>
          <c:extLst>
            <c:ext xmlns:c16="http://schemas.microsoft.com/office/drawing/2014/chart" uri="{C3380CC4-5D6E-409C-BE32-E72D297353CC}">
              <c16:uniqueId val="{00000000-8753-4A1D-9C48-30F44F29BDBD}"/>
            </c:ext>
          </c:extLst>
        </c:ser>
        <c:dLbls>
          <c:dLblPos val="inEnd"/>
          <c:showLegendKey val="0"/>
          <c:showVal val="1"/>
          <c:showCatName val="0"/>
          <c:showSerName val="0"/>
          <c:showPercent val="0"/>
          <c:showBubbleSize val="0"/>
        </c:dLbls>
        <c:gapWidth val="65"/>
        <c:axId val="312280591"/>
        <c:axId val="311804991"/>
      </c:barChart>
      <c:catAx>
        <c:axId val="3122805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1804991"/>
        <c:crosses val="autoZero"/>
        <c:auto val="1"/>
        <c:lblAlgn val="ctr"/>
        <c:lblOffset val="100"/>
        <c:noMultiLvlLbl val="0"/>
      </c:catAx>
      <c:valAx>
        <c:axId val="311804991"/>
        <c:scaling>
          <c:orientation val="minMax"/>
        </c:scaling>
        <c:delete val="1"/>
        <c:axPos val="l"/>
        <c:numFmt formatCode="General" sourceLinked="1"/>
        <c:majorTickMark val="none"/>
        <c:minorTickMark val="none"/>
        <c:tickLblPos val="nextTo"/>
        <c:crossAx val="31228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171450</xdr:rowOff>
    </xdr:from>
    <xdr:to>
      <xdr:col>2</xdr:col>
      <xdr:colOff>400049</xdr:colOff>
      <xdr:row>20</xdr:row>
      <xdr:rowOff>9525</xdr:rowOff>
    </xdr:to>
    <xdr:graphicFrame macro="">
      <xdr:nvGraphicFramePr>
        <xdr:cNvPr id="2" name="Chart 1">
          <a:extLst>
            <a:ext uri="{FF2B5EF4-FFF2-40B4-BE49-F238E27FC236}">
              <a16:creationId xmlns:a16="http://schemas.microsoft.com/office/drawing/2014/main" id="{7CC7B167-9933-32F6-3492-ED13E678B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10</xdr:row>
      <xdr:rowOff>0</xdr:rowOff>
    </xdr:from>
    <xdr:to>
      <xdr:col>9</xdr:col>
      <xdr:colOff>381000</xdr:colOff>
      <xdr:row>20</xdr:row>
      <xdr:rowOff>42860</xdr:rowOff>
    </xdr:to>
    <xdr:graphicFrame macro="">
      <xdr:nvGraphicFramePr>
        <xdr:cNvPr id="3" name="Chart 2">
          <a:extLst>
            <a:ext uri="{FF2B5EF4-FFF2-40B4-BE49-F238E27FC236}">
              <a16:creationId xmlns:a16="http://schemas.microsoft.com/office/drawing/2014/main" id="{EAF8EC7C-4520-4858-9605-F61D01A8D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2</xdr:row>
      <xdr:rowOff>161925</xdr:rowOff>
    </xdr:from>
    <xdr:to>
      <xdr:col>3</xdr:col>
      <xdr:colOff>133350</xdr:colOff>
      <xdr:row>5</xdr:row>
      <xdr:rowOff>152400</xdr:rowOff>
    </xdr:to>
    <xdr:sp macro="" textlink="">
      <xdr:nvSpPr>
        <xdr:cNvPr id="3" name="Rectangle: Rounded Corners 2">
          <a:extLst>
            <a:ext uri="{FF2B5EF4-FFF2-40B4-BE49-F238E27FC236}">
              <a16:creationId xmlns:a16="http://schemas.microsoft.com/office/drawing/2014/main" id="{DB745B08-9C02-ABBB-A2F1-A226538A63E9}"/>
            </a:ext>
          </a:extLst>
        </xdr:cNvPr>
        <xdr:cNvSpPr/>
      </xdr:nvSpPr>
      <xdr:spPr>
        <a:xfrm>
          <a:off x="285750" y="685800"/>
          <a:ext cx="2514600" cy="6858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chemeClr val="bg1"/>
              </a:solidFill>
            </a:rPr>
            <a:t>Total</a:t>
          </a:r>
          <a:r>
            <a:rPr lang="en-US" sz="1400" b="1" baseline="0">
              <a:solidFill>
                <a:schemeClr val="bg1"/>
              </a:solidFill>
            </a:rPr>
            <a:t> Sales</a:t>
          </a:r>
        </a:p>
        <a:p>
          <a:pPr algn="l"/>
          <a:r>
            <a:rPr lang="en-US" sz="1800" b="1">
              <a:solidFill>
                <a:schemeClr val="bg1"/>
              </a:solidFill>
            </a:rPr>
            <a:t>Rs 5,541,500</a:t>
          </a:r>
        </a:p>
      </xdr:txBody>
    </xdr:sp>
    <xdr:clientData/>
  </xdr:twoCellAnchor>
  <xdr:twoCellAnchor>
    <xdr:from>
      <xdr:col>4</xdr:col>
      <xdr:colOff>0</xdr:colOff>
      <xdr:row>2</xdr:row>
      <xdr:rowOff>152400</xdr:rowOff>
    </xdr:from>
    <xdr:to>
      <xdr:col>8</xdr:col>
      <xdr:colOff>76200</xdr:colOff>
      <xdr:row>5</xdr:row>
      <xdr:rowOff>142875</xdr:rowOff>
    </xdr:to>
    <xdr:sp macro="" textlink="">
      <xdr:nvSpPr>
        <xdr:cNvPr id="4" name="Rectangle: Rounded Corners 3">
          <a:extLst>
            <a:ext uri="{FF2B5EF4-FFF2-40B4-BE49-F238E27FC236}">
              <a16:creationId xmlns:a16="http://schemas.microsoft.com/office/drawing/2014/main" id="{535E45F5-585B-4184-AAD1-1BCE48B48D25}"/>
            </a:ext>
          </a:extLst>
        </xdr:cNvPr>
        <xdr:cNvSpPr/>
      </xdr:nvSpPr>
      <xdr:spPr>
        <a:xfrm>
          <a:off x="3276600" y="676275"/>
          <a:ext cx="2514600" cy="68580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r>
            <a:rPr lang="en-US" sz="1400" b="1">
              <a:solidFill>
                <a:schemeClr val="bg1"/>
              </a:solidFill>
            </a:rPr>
            <a:t>Total</a:t>
          </a:r>
          <a:r>
            <a:rPr lang="en-US" sz="1400" b="1" baseline="0">
              <a:solidFill>
                <a:schemeClr val="bg1"/>
              </a:solidFill>
            </a:rPr>
            <a:t> Orders</a:t>
          </a:r>
        </a:p>
        <a:p>
          <a:pPr algn="l"/>
          <a:r>
            <a:rPr lang="en-US" sz="1800" b="1">
              <a:solidFill>
                <a:schemeClr val="bg1"/>
              </a:solidFill>
            </a:rPr>
            <a:t>20</a:t>
          </a:r>
        </a:p>
        <a:p>
          <a:pPr algn="l"/>
          <a:endParaRPr lang="en-US" sz="2000" b="1">
            <a:solidFill>
              <a:schemeClr val="bg1"/>
            </a:solidFill>
          </a:endParaRPr>
        </a:p>
      </xdr:txBody>
    </xdr:sp>
    <xdr:clientData/>
  </xdr:twoCellAnchor>
  <xdr:twoCellAnchor>
    <xdr:from>
      <xdr:col>8</xdr:col>
      <xdr:colOff>552450</xdr:colOff>
      <xdr:row>2</xdr:row>
      <xdr:rowOff>171450</xdr:rowOff>
    </xdr:from>
    <xdr:to>
      <xdr:col>13</xdr:col>
      <xdr:colOff>19050</xdr:colOff>
      <xdr:row>5</xdr:row>
      <xdr:rowOff>161925</xdr:rowOff>
    </xdr:to>
    <xdr:sp macro="" textlink="">
      <xdr:nvSpPr>
        <xdr:cNvPr id="5" name="Rectangle: Rounded Corners 4">
          <a:extLst>
            <a:ext uri="{FF2B5EF4-FFF2-40B4-BE49-F238E27FC236}">
              <a16:creationId xmlns:a16="http://schemas.microsoft.com/office/drawing/2014/main" id="{976D2D95-4329-4D78-8A45-55651D67B741}"/>
            </a:ext>
          </a:extLst>
        </xdr:cNvPr>
        <xdr:cNvSpPr/>
      </xdr:nvSpPr>
      <xdr:spPr>
        <a:xfrm>
          <a:off x="6267450" y="695325"/>
          <a:ext cx="2514600" cy="68580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US" sz="1400" b="1" baseline="0">
              <a:solidFill>
                <a:schemeClr val="bg1"/>
              </a:solidFill>
            </a:rPr>
            <a:t> Avg Order Value</a:t>
          </a:r>
        </a:p>
        <a:p>
          <a:pPr algn="l"/>
          <a:r>
            <a:rPr lang="en-US" sz="1800" b="1">
              <a:solidFill>
                <a:schemeClr val="bg1"/>
              </a:solidFill>
            </a:rPr>
            <a:t>Rs 277,075</a:t>
          </a:r>
        </a:p>
      </xdr:txBody>
    </xdr:sp>
    <xdr:clientData/>
  </xdr:twoCellAnchor>
  <xdr:twoCellAnchor>
    <xdr:from>
      <xdr:col>13</xdr:col>
      <xdr:colOff>590550</xdr:colOff>
      <xdr:row>2</xdr:row>
      <xdr:rowOff>171450</xdr:rowOff>
    </xdr:from>
    <xdr:to>
      <xdr:col>18</xdr:col>
      <xdr:colOff>57150</xdr:colOff>
      <xdr:row>5</xdr:row>
      <xdr:rowOff>161925</xdr:rowOff>
    </xdr:to>
    <xdr:sp macro="" textlink="">
      <xdr:nvSpPr>
        <xdr:cNvPr id="6" name="Rectangle: Rounded Corners 5">
          <a:extLst>
            <a:ext uri="{FF2B5EF4-FFF2-40B4-BE49-F238E27FC236}">
              <a16:creationId xmlns:a16="http://schemas.microsoft.com/office/drawing/2014/main" id="{95A87D90-7D2E-4B21-88EC-26F9984D263D}"/>
            </a:ext>
          </a:extLst>
        </xdr:cNvPr>
        <xdr:cNvSpPr/>
      </xdr:nvSpPr>
      <xdr:spPr>
        <a:xfrm>
          <a:off x="9353550" y="695325"/>
          <a:ext cx="2514600" cy="6858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US" sz="1400" b="1">
              <a:solidFill>
                <a:schemeClr val="bg1"/>
              </a:solidFill>
            </a:rPr>
            <a:t>Best</a:t>
          </a:r>
          <a:r>
            <a:rPr lang="en-US" sz="1400" b="1" baseline="0">
              <a:solidFill>
                <a:schemeClr val="bg1"/>
              </a:solidFill>
            </a:rPr>
            <a:t> Selling</a:t>
          </a:r>
          <a:r>
            <a:rPr lang="en-US" sz="1400" b="1">
              <a:solidFill>
                <a:schemeClr val="bg1"/>
              </a:solidFill>
            </a:rPr>
            <a:t> Category</a:t>
          </a:r>
          <a:endParaRPr lang="en-US" sz="1400" b="1" baseline="0">
            <a:solidFill>
              <a:schemeClr val="bg1"/>
            </a:solidFill>
          </a:endParaRPr>
        </a:p>
        <a:p>
          <a:pPr algn="l"/>
          <a:r>
            <a:rPr lang="en-US" sz="1800" b="1">
              <a:solidFill>
                <a:schemeClr val="bg1"/>
              </a:solidFill>
            </a:rPr>
            <a:t>Mobile</a:t>
          </a:r>
        </a:p>
      </xdr:txBody>
    </xdr:sp>
    <xdr:clientData/>
  </xdr:twoCellAnchor>
  <xdr:twoCellAnchor>
    <xdr:from>
      <xdr:col>0</xdr:col>
      <xdr:colOff>400051</xdr:colOff>
      <xdr:row>7</xdr:row>
      <xdr:rowOff>9526</xdr:rowOff>
    </xdr:from>
    <xdr:to>
      <xdr:col>7</xdr:col>
      <xdr:colOff>266700</xdr:colOff>
      <xdr:row>20</xdr:row>
      <xdr:rowOff>66676</xdr:rowOff>
    </xdr:to>
    <xdr:graphicFrame macro="">
      <xdr:nvGraphicFramePr>
        <xdr:cNvPr id="7" name="Chart 6">
          <a:extLst>
            <a:ext uri="{FF2B5EF4-FFF2-40B4-BE49-F238E27FC236}">
              <a16:creationId xmlns:a16="http://schemas.microsoft.com/office/drawing/2014/main" id="{7E3AA29F-5BB4-4569-ADA1-A572B1BAD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7</xdr:row>
      <xdr:rowOff>9525</xdr:rowOff>
    </xdr:from>
    <xdr:to>
      <xdr:col>18</xdr:col>
      <xdr:colOff>104775</xdr:colOff>
      <xdr:row>20</xdr:row>
      <xdr:rowOff>28576</xdr:rowOff>
    </xdr:to>
    <xdr:graphicFrame macro="">
      <xdr:nvGraphicFramePr>
        <xdr:cNvPr id="8" name="Chart 7">
          <a:extLst>
            <a:ext uri="{FF2B5EF4-FFF2-40B4-BE49-F238E27FC236}">
              <a16:creationId xmlns:a16="http://schemas.microsoft.com/office/drawing/2014/main" id="{ECC260E3-4CE5-402A-95BF-541D8949A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354805</xdr:colOff>
      <xdr:row>20</xdr:row>
      <xdr:rowOff>89298</xdr:rowOff>
    </xdr:from>
    <xdr:to>
      <xdr:col>2</xdr:col>
      <xdr:colOff>193476</xdr:colOff>
      <xdr:row>32</xdr:row>
      <xdr:rowOff>60127</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785E8B4-8660-4BB3-94F3-FC9C2D5CF3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54805" y="4196954"/>
              <a:ext cx="1892499" cy="2292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584597</xdr:colOff>
      <xdr:row>20</xdr:row>
      <xdr:rowOff>104181</xdr:rowOff>
    </xdr:from>
    <xdr:to>
      <xdr:col>19</xdr:col>
      <xdr:colOff>44649</xdr:colOff>
      <xdr:row>32</xdr:row>
      <xdr:rowOff>115636</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513ADD4B-B6EE-4EF0-98D9-732E91210B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570964" y="4211837"/>
              <a:ext cx="1900833" cy="2333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7.375925" createdVersion="8" refreshedVersion="8" minRefreshableVersion="3" recordCount="20" xr:uid="{E176B54D-9FAA-43AB-A53E-377364BBBC55}">
  <cacheSource type="worksheet">
    <worksheetSource name="SalesData"/>
  </cacheSource>
  <cacheFields count="9">
    <cacheField name="Order ID" numFmtId="0">
      <sharedItems/>
    </cacheField>
    <cacheField name="Date" numFmtId="15">
      <sharedItems containsSemiMixedTypes="0" containsNonDate="0" containsDate="1" containsString="0" minDate="2026-01-01T00:00:00" maxDate="2026-02-01T00:00:00"/>
    </cacheField>
    <cacheField name="Region" numFmtId="0">
      <sharedItems count="5">
        <s v="Karachi"/>
        <s v="Lahore"/>
        <s v="Islamabad"/>
        <s v="Peshawar"/>
        <s v="Quetta"/>
      </sharedItems>
    </cacheField>
    <cacheField name="Salesperson" numFmtId="0">
      <sharedItems/>
    </cacheField>
    <cacheField name="Category" numFmtId="0">
      <sharedItems count="4">
        <s v="Laptop"/>
        <s v="Mobile"/>
        <s v="Tablet"/>
        <s v="Accessories"/>
      </sharedItems>
    </cacheField>
    <cacheField name="Product" numFmtId="0">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800" maxValue="310000"/>
    </cacheField>
    <cacheField name="Total Sales" numFmtId="0">
      <sharedItems containsSemiMixedTypes="0" containsString="0" containsNumber="1" containsInteger="1" minValue="27000" maxValue="620000"/>
    </cacheField>
  </cacheFields>
  <extLst>
    <ext xmlns:x14="http://schemas.microsoft.com/office/spreadsheetml/2009/9/main" uri="{725AE2AE-9491-48be-B2B4-4EB974FC3084}">
      <x14:pivotCacheDefinition pivotCacheId="1100127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1001"/>
    <d v="2026-01-01T00:00:00"/>
    <x v="0"/>
    <s v="Ali"/>
    <x v="0"/>
    <s v="Dell Inspiron"/>
    <n v="2"/>
    <n v="85000"/>
    <n v="170000"/>
  </r>
  <r>
    <s v="O1002"/>
    <d v="2026-01-02T00:00:00"/>
    <x v="1"/>
    <s v="Sara"/>
    <x v="1"/>
    <s v="Samsung A55"/>
    <n v="5"/>
    <n v="95000"/>
    <n v="475000"/>
  </r>
  <r>
    <s v="O1003"/>
    <d v="2026-01-03T00:00:00"/>
    <x v="2"/>
    <s v="Ahmed"/>
    <x v="2"/>
    <s v="iPad Air"/>
    <n v="3"/>
    <n v="180000"/>
    <n v="540000"/>
  </r>
  <r>
    <s v="O1004"/>
    <d v="2026-01-05T00:00:00"/>
    <x v="0"/>
    <s v="Fatima"/>
    <x v="3"/>
    <s v="Keyboard"/>
    <n v="10"/>
    <n v="3500"/>
    <n v="35000"/>
  </r>
  <r>
    <s v="O1005"/>
    <d v="2026-01-06T00:00:00"/>
    <x v="3"/>
    <s v="Bilal"/>
    <x v="0"/>
    <s v="HP Pavilion"/>
    <n v="1"/>
    <n v="92000"/>
    <n v="92000"/>
  </r>
  <r>
    <s v="O1006"/>
    <d v="2026-01-08T00:00:00"/>
    <x v="1"/>
    <s v="Ali"/>
    <x v="1"/>
    <s v="iPhone 15"/>
    <n v="2"/>
    <n v="285000"/>
    <n v="570000"/>
  </r>
  <r>
    <s v="O1007"/>
    <d v="2026-01-09T00:00:00"/>
    <x v="0"/>
    <s v="Sara"/>
    <x v="3"/>
    <s v="Mouse"/>
    <n v="15"/>
    <n v="1800"/>
    <n v="27000"/>
  </r>
  <r>
    <s v="O1008"/>
    <d v="2026-01-10T00:00:00"/>
    <x v="2"/>
    <s v="Ahmed"/>
    <x v="0"/>
    <s v="Lenovo ThinkPad"/>
    <n v="4"/>
    <n v="98000"/>
    <n v="392000"/>
  </r>
  <r>
    <s v="O1009"/>
    <d v="2026-01-12T00:00:00"/>
    <x v="4"/>
    <s v="Fatima"/>
    <x v="2"/>
    <s v="Samsung Tab"/>
    <n v="3"/>
    <n v="120000"/>
    <n v="360000"/>
  </r>
  <r>
    <s v="O1010"/>
    <d v="2026-01-14T00:00:00"/>
    <x v="1"/>
    <s v="Bilal"/>
    <x v="1"/>
    <s v="Redmi Note"/>
    <n v="8"/>
    <n v="48000"/>
    <n v="384000"/>
  </r>
  <r>
    <s v="O1011"/>
    <d v="2026-01-16T00:00:00"/>
    <x v="0"/>
    <s v="Ali"/>
    <x v="0"/>
    <s v="MacBook Air"/>
    <n v="2"/>
    <n v="310000"/>
    <n v="620000"/>
  </r>
  <r>
    <s v="O1012"/>
    <d v="2026-01-18T00:00:00"/>
    <x v="2"/>
    <s v="Sara"/>
    <x v="3"/>
    <s v="Headphones"/>
    <n v="7"/>
    <n v="12000"/>
    <n v="84000"/>
  </r>
  <r>
    <s v="O1013"/>
    <d v="2026-01-20T00:00:00"/>
    <x v="4"/>
    <s v="Ahmed"/>
    <x v="1"/>
    <s v="Vivo V40"/>
    <n v="6"/>
    <n v="72000"/>
    <n v="432000"/>
  </r>
  <r>
    <s v="O1014"/>
    <d v="2026-01-22T00:00:00"/>
    <x v="3"/>
    <s v="Fatima"/>
    <x v="0"/>
    <s v="Acer Aspire"/>
    <n v="3"/>
    <n v="76000"/>
    <n v="228000"/>
  </r>
  <r>
    <s v="O1015"/>
    <d v="2026-01-25T00:00:00"/>
    <x v="1"/>
    <s v="Bilal"/>
    <x v="2"/>
    <s v="Lenovo Tab"/>
    <n v="2"/>
    <n v="95000"/>
    <n v="190000"/>
  </r>
  <r>
    <s v="O1016"/>
    <d v="2026-01-27T00:00:00"/>
    <x v="0"/>
    <s v="Sara"/>
    <x v="1"/>
    <s v="Oppo Reno"/>
    <n v="4"/>
    <n v="78000"/>
    <n v="312000"/>
  </r>
  <r>
    <s v="O1017"/>
    <d v="2026-01-28T00:00:00"/>
    <x v="2"/>
    <s v="Ali"/>
    <x v="3"/>
    <s v="Webcam"/>
    <n v="9"/>
    <n v="9500"/>
    <n v="85500"/>
  </r>
  <r>
    <s v="O1018"/>
    <d v="2026-01-29T00:00:00"/>
    <x v="4"/>
    <s v="Ahmed"/>
    <x v="0"/>
    <s v="ASUS Vivobook"/>
    <n v="2"/>
    <n v="88000"/>
    <n v="176000"/>
  </r>
  <r>
    <s v="O1019"/>
    <d v="2026-01-30T00:00:00"/>
    <x v="3"/>
    <s v="Fatima"/>
    <x v="1"/>
    <s v="Realme 14"/>
    <n v="5"/>
    <n v="65000"/>
    <n v="325000"/>
  </r>
  <r>
    <s v="O1020"/>
    <d v="2026-01-31T00:00:00"/>
    <x v="1"/>
    <s v="Bilal"/>
    <x v="3"/>
    <s v="USB Hub"/>
    <n v="20"/>
    <n v="2200"/>
    <n v="4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2642F7-42EB-4BBF-82A5-F030F438133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9:L14" firstHeaderRow="1" firstDataRow="1" firstDataCol="1"/>
  <pivotFields count="9">
    <pivotField showAll="0"/>
    <pivotField numFmtId="15" showAll="0"/>
    <pivotField showAll="0">
      <items count="6">
        <item x="2"/>
        <item x="0"/>
        <item x="1"/>
        <item x="3"/>
        <item x="4"/>
        <item t="default"/>
      </items>
    </pivotField>
    <pivotField showAll="0"/>
    <pivotField axis="axisRow" showAll="0">
      <items count="5">
        <item x="3"/>
        <item x="0"/>
        <item x="1"/>
        <item x="2"/>
        <item t="default"/>
      </items>
    </pivotField>
    <pivotField showAll="0"/>
    <pivotField showAll="0"/>
    <pivotField showAll="0"/>
    <pivotField dataField="1" showAll="0"/>
  </pivotFields>
  <rowFields count="1">
    <field x="4"/>
  </rowFields>
  <rowItems count="5">
    <i>
      <x/>
    </i>
    <i>
      <x v="1"/>
    </i>
    <i>
      <x v="2"/>
    </i>
    <i>
      <x v="3"/>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73ED7A-948C-4FA7-9263-3886889C6D5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9">
    <pivotField showAll="0"/>
    <pivotField numFmtId="15" showAll="0"/>
    <pivotField axis="axisRow" showAll="0">
      <items count="6">
        <item x="2"/>
        <item x="0"/>
        <item x="1"/>
        <item x="3"/>
        <item x="4"/>
        <item t="default"/>
      </items>
    </pivotField>
    <pivotField showAll="0"/>
    <pivotField showAll="0">
      <items count="5">
        <item x="3"/>
        <item x="0"/>
        <item x="1"/>
        <item x="2"/>
        <item t="default"/>
      </items>
    </pivotField>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FECFF-522C-4709-AB30-EC314E86C378}" sourceName="Region">
  <pivotTables>
    <pivotTable tabId="3" name="PivotTable1"/>
    <pivotTable tabId="3" name="PivotTable2"/>
  </pivotTables>
  <data>
    <tabular pivotCacheId="1100127848">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5628AB-BB0B-4455-B754-68AEA25DE668}" sourceName="Category">
  <pivotTables>
    <pivotTable tabId="3" name="PivotTable1"/>
    <pivotTable tabId="3" name="PivotTable2"/>
  </pivotTables>
  <data>
    <tabular pivotCacheId="110012784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91BB7D5-1119-4F41-9C25-22D5B1681F9A}" cache="Slicer_Region" caption="Region" style="SlicerStyleDark3" rowHeight="257175"/>
  <slicer name="Category 1" xr10:uid="{D8406FC4-0AD4-4C48-880B-20EE3E51BBE3}" cache="Slicer_Category" caption="Category"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F4192-6CC8-4660-ABFD-4E0EA00B5567}" name="SalesData" displayName="SalesData" ref="B4:J24" totalsRowShown="0" headerRowDxfId="1" dataDxfId="0">
  <autoFilter ref="B4:J24" xr:uid="{41BF4192-6CC8-4660-ABFD-4E0EA00B5567}"/>
  <tableColumns count="9">
    <tableColumn id="1" xr3:uid="{B89AE00A-72B8-4145-BC7C-A3B91F6962F7}" name="Order ID" dataDxfId="10"/>
    <tableColumn id="2" xr3:uid="{8F8E70A5-6C29-4EA6-8EA5-85B8B0364382}" name="Date" dataDxfId="9"/>
    <tableColumn id="3" xr3:uid="{BB89A857-D25B-4B8F-A500-C01831283342}" name="Region" dataDxfId="8"/>
    <tableColumn id="4" xr3:uid="{D792C21C-98E0-4239-9C0E-FD35E07E10F9}" name="Salesperson" dataDxfId="7"/>
    <tableColumn id="5" xr3:uid="{F576A74A-92B2-45F6-AEEF-ED0B3D455C2A}" name="Category" dataDxfId="6"/>
    <tableColumn id="6" xr3:uid="{04EFAAF8-5494-4040-88C6-4990D68EE941}" name="Product" dataDxfId="5"/>
    <tableColumn id="7" xr3:uid="{A4079B80-D52C-415B-8F31-6148C3DA4FF1}" name="Units Sold" dataDxfId="4"/>
    <tableColumn id="8" xr3:uid="{C19E7956-AD25-470A-AA37-227B147AB132}" name="Unit Price" dataDxfId="3"/>
    <tableColumn id="9" xr3:uid="{EFEF843A-B891-4344-9748-4281F97A3E2E}" name="Total Sales" dataDxfId="2"/>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2193-065E-4C14-B3A8-D135E32E4FB3}">
  <dimension ref="A1:J24"/>
  <sheetViews>
    <sheetView tabSelected="1" workbookViewId="0">
      <selection activeCell="A6" sqref="A6"/>
    </sheetView>
  </sheetViews>
  <sheetFormatPr defaultRowHeight="15" x14ac:dyDescent="0.25"/>
  <cols>
    <col min="1" max="1" width="45.85546875" customWidth="1"/>
    <col min="2" max="2" width="11" customWidth="1"/>
    <col min="3" max="3" width="11.5703125" customWidth="1"/>
    <col min="4" max="4" width="14.28515625" customWidth="1"/>
    <col min="5" max="5" width="15.42578125" customWidth="1"/>
    <col min="6" max="6" width="16.7109375" customWidth="1"/>
    <col min="7" max="7" width="15" customWidth="1"/>
    <col min="8" max="8" width="12.5703125" customWidth="1"/>
    <col min="9" max="9" width="15.140625" customWidth="1"/>
    <col min="10" max="10" width="13.85546875" customWidth="1"/>
  </cols>
  <sheetData>
    <row r="1" spans="1:10" ht="39.75" customHeight="1" x14ac:dyDescent="0.45">
      <c r="A1" s="15" t="s">
        <v>67</v>
      </c>
    </row>
    <row r="4" spans="1:10" x14ac:dyDescent="0.25">
      <c r="B4" s="1" t="s">
        <v>62</v>
      </c>
      <c r="C4" s="1" t="s">
        <v>0</v>
      </c>
      <c r="D4" s="1" t="s">
        <v>1</v>
      </c>
      <c r="E4" s="1" t="s">
        <v>2</v>
      </c>
      <c r="F4" s="1" t="s">
        <v>3</v>
      </c>
      <c r="G4" s="1" t="s">
        <v>4</v>
      </c>
      <c r="H4" s="5" t="s">
        <v>5</v>
      </c>
      <c r="I4" s="5" t="s">
        <v>6</v>
      </c>
      <c r="J4" s="5" t="s">
        <v>7</v>
      </c>
    </row>
    <row r="5" spans="1:10" x14ac:dyDescent="0.25">
      <c r="B5" s="2" t="s">
        <v>8</v>
      </c>
      <c r="C5" s="3">
        <v>46023</v>
      </c>
      <c r="D5" s="2" t="s">
        <v>9</v>
      </c>
      <c r="E5" s="2" t="s">
        <v>10</v>
      </c>
      <c r="F5" s="2" t="s">
        <v>11</v>
      </c>
      <c r="G5" s="2" t="s">
        <v>12</v>
      </c>
      <c r="H5" s="4">
        <v>2</v>
      </c>
      <c r="I5" s="4">
        <v>85000</v>
      </c>
      <c r="J5" s="4">
        <v>170000</v>
      </c>
    </row>
    <row r="6" spans="1:10" x14ac:dyDescent="0.25">
      <c r="B6" s="2" t="s">
        <v>13</v>
      </c>
      <c r="C6" s="3">
        <v>46024</v>
      </c>
      <c r="D6" s="2" t="s">
        <v>14</v>
      </c>
      <c r="E6" s="2" t="s">
        <v>15</v>
      </c>
      <c r="F6" s="2" t="s">
        <v>16</v>
      </c>
      <c r="G6" s="2" t="s">
        <v>17</v>
      </c>
      <c r="H6" s="4">
        <v>5</v>
      </c>
      <c r="I6" s="4">
        <v>95000</v>
      </c>
      <c r="J6" s="4">
        <v>475000</v>
      </c>
    </row>
    <row r="7" spans="1:10" x14ac:dyDescent="0.25">
      <c r="B7" s="2" t="s">
        <v>18</v>
      </c>
      <c r="C7" s="3">
        <v>46025</v>
      </c>
      <c r="D7" s="2" t="s">
        <v>19</v>
      </c>
      <c r="E7" s="2" t="s">
        <v>20</v>
      </c>
      <c r="F7" s="2" t="s">
        <v>21</v>
      </c>
      <c r="G7" s="2" t="s">
        <v>22</v>
      </c>
      <c r="H7" s="4">
        <v>3</v>
      </c>
      <c r="I7" s="4">
        <v>180000</v>
      </c>
      <c r="J7" s="4">
        <v>540000</v>
      </c>
    </row>
    <row r="8" spans="1:10" x14ac:dyDescent="0.25">
      <c r="B8" s="2" t="s">
        <v>23</v>
      </c>
      <c r="C8" s="3">
        <v>46027</v>
      </c>
      <c r="D8" s="2" t="s">
        <v>9</v>
      </c>
      <c r="E8" s="2" t="s">
        <v>24</v>
      </c>
      <c r="F8" s="2" t="s">
        <v>25</v>
      </c>
      <c r="G8" s="2" t="s">
        <v>26</v>
      </c>
      <c r="H8" s="4">
        <v>10</v>
      </c>
      <c r="I8" s="4">
        <v>3500</v>
      </c>
      <c r="J8" s="4">
        <v>35000</v>
      </c>
    </row>
    <row r="9" spans="1:10" x14ac:dyDescent="0.25">
      <c r="B9" s="2" t="s">
        <v>27</v>
      </c>
      <c r="C9" s="3">
        <v>46028</v>
      </c>
      <c r="D9" s="2" t="s">
        <v>28</v>
      </c>
      <c r="E9" s="2" t="s">
        <v>29</v>
      </c>
      <c r="F9" s="2" t="s">
        <v>11</v>
      </c>
      <c r="G9" s="2" t="s">
        <v>30</v>
      </c>
      <c r="H9" s="4">
        <v>1</v>
      </c>
      <c r="I9" s="4">
        <v>92000</v>
      </c>
      <c r="J9" s="4">
        <v>92000</v>
      </c>
    </row>
    <row r="10" spans="1:10" x14ac:dyDescent="0.25">
      <c r="B10" s="2" t="s">
        <v>31</v>
      </c>
      <c r="C10" s="3">
        <v>46030</v>
      </c>
      <c r="D10" s="2" t="s">
        <v>14</v>
      </c>
      <c r="E10" s="2" t="s">
        <v>10</v>
      </c>
      <c r="F10" s="2" t="s">
        <v>16</v>
      </c>
      <c r="G10" s="2" t="s">
        <v>32</v>
      </c>
      <c r="H10" s="4">
        <v>2</v>
      </c>
      <c r="I10" s="4">
        <v>285000</v>
      </c>
      <c r="J10" s="4">
        <v>570000</v>
      </c>
    </row>
    <row r="11" spans="1:10" x14ac:dyDescent="0.25">
      <c r="B11" s="2" t="s">
        <v>33</v>
      </c>
      <c r="C11" s="3">
        <v>46031</v>
      </c>
      <c r="D11" s="2" t="s">
        <v>9</v>
      </c>
      <c r="E11" s="2" t="s">
        <v>15</v>
      </c>
      <c r="F11" s="2" t="s">
        <v>25</v>
      </c>
      <c r="G11" s="2" t="s">
        <v>34</v>
      </c>
      <c r="H11" s="4">
        <v>15</v>
      </c>
      <c r="I11" s="4">
        <v>1800</v>
      </c>
      <c r="J11" s="4">
        <v>27000</v>
      </c>
    </row>
    <row r="12" spans="1:10" ht="30" x14ac:dyDescent="0.25">
      <c r="B12" s="2" t="s">
        <v>35</v>
      </c>
      <c r="C12" s="3">
        <v>46032</v>
      </c>
      <c r="D12" s="2" t="s">
        <v>19</v>
      </c>
      <c r="E12" s="2" t="s">
        <v>20</v>
      </c>
      <c r="F12" s="2" t="s">
        <v>11</v>
      </c>
      <c r="G12" s="2" t="s">
        <v>36</v>
      </c>
      <c r="H12" s="4">
        <v>4</v>
      </c>
      <c r="I12" s="4">
        <v>98000</v>
      </c>
      <c r="J12" s="4">
        <v>392000</v>
      </c>
    </row>
    <row r="13" spans="1:10" x14ac:dyDescent="0.25">
      <c r="B13" s="2" t="s">
        <v>37</v>
      </c>
      <c r="C13" s="3">
        <v>46034</v>
      </c>
      <c r="D13" s="2" t="s">
        <v>38</v>
      </c>
      <c r="E13" s="2" t="s">
        <v>24</v>
      </c>
      <c r="F13" s="2" t="s">
        <v>21</v>
      </c>
      <c r="G13" s="2" t="s">
        <v>39</v>
      </c>
      <c r="H13" s="4">
        <v>3</v>
      </c>
      <c r="I13" s="4">
        <v>120000</v>
      </c>
      <c r="J13" s="4">
        <v>360000</v>
      </c>
    </row>
    <row r="14" spans="1:10" x14ac:dyDescent="0.25">
      <c r="B14" s="2" t="s">
        <v>40</v>
      </c>
      <c r="C14" s="3">
        <v>46036</v>
      </c>
      <c r="D14" s="2" t="s">
        <v>14</v>
      </c>
      <c r="E14" s="2" t="s">
        <v>29</v>
      </c>
      <c r="F14" s="2" t="s">
        <v>16</v>
      </c>
      <c r="G14" s="2" t="s">
        <v>41</v>
      </c>
      <c r="H14" s="4">
        <v>8</v>
      </c>
      <c r="I14" s="4">
        <v>48000</v>
      </c>
      <c r="J14" s="4">
        <v>384000</v>
      </c>
    </row>
    <row r="15" spans="1:10" x14ac:dyDescent="0.25">
      <c r="B15" s="2" t="s">
        <v>42</v>
      </c>
      <c r="C15" s="3">
        <v>46038</v>
      </c>
      <c r="D15" s="2" t="s">
        <v>9</v>
      </c>
      <c r="E15" s="2" t="s">
        <v>10</v>
      </c>
      <c r="F15" s="2" t="s">
        <v>11</v>
      </c>
      <c r="G15" s="2" t="s">
        <v>43</v>
      </c>
      <c r="H15" s="4">
        <v>2</v>
      </c>
      <c r="I15" s="4">
        <v>310000</v>
      </c>
      <c r="J15" s="4">
        <v>620000</v>
      </c>
    </row>
    <row r="16" spans="1:10" x14ac:dyDescent="0.25">
      <c r="B16" s="2" t="s">
        <v>44</v>
      </c>
      <c r="C16" s="3">
        <v>46040</v>
      </c>
      <c r="D16" s="2" t="s">
        <v>19</v>
      </c>
      <c r="E16" s="2" t="s">
        <v>15</v>
      </c>
      <c r="F16" s="2" t="s">
        <v>25</v>
      </c>
      <c r="G16" s="2" t="s">
        <v>45</v>
      </c>
      <c r="H16" s="4">
        <v>7</v>
      </c>
      <c r="I16" s="4">
        <v>12000</v>
      </c>
      <c r="J16" s="4">
        <v>84000</v>
      </c>
    </row>
    <row r="17" spans="2:10" x14ac:dyDescent="0.25">
      <c r="B17" s="2" t="s">
        <v>46</v>
      </c>
      <c r="C17" s="3">
        <v>46042</v>
      </c>
      <c r="D17" s="2" t="s">
        <v>38</v>
      </c>
      <c r="E17" s="2" t="s">
        <v>20</v>
      </c>
      <c r="F17" s="2" t="s">
        <v>16</v>
      </c>
      <c r="G17" s="2" t="s">
        <v>47</v>
      </c>
      <c r="H17" s="4">
        <v>6</v>
      </c>
      <c r="I17" s="4">
        <v>72000</v>
      </c>
      <c r="J17" s="4">
        <v>432000</v>
      </c>
    </row>
    <row r="18" spans="2:10" x14ac:dyDescent="0.25">
      <c r="B18" s="2" t="s">
        <v>48</v>
      </c>
      <c r="C18" s="3">
        <v>46044</v>
      </c>
      <c r="D18" s="2" t="s">
        <v>28</v>
      </c>
      <c r="E18" s="2" t="s">
        <v>24</v>
      </c>
      <c r="F18" s="2" t="s">
        <v>11</v>
      </c>
      <c r="G18" s="2" t="s">
        <v>49</v>
      </c>
      <c r="H18" s="4">
        <v>3</v>
      </c>
      <c r="I18" s="4">
        <v>76000</v>
      </c>
      <c r="J18" s="4">
        <v>228000</v>
      </c>
    </row>
    <row r="19" spans="2:10" x14ac:dyDescent="0.25">
      <c r="B19" s="2" t="s">
        <v>50</v>
      </c>
      <c r="C19" s="3">
        <v>46047</v>
      </c>
      <c r="D19" s="2" t="s">
        <v>14</v>
      </c>
      <c r="E19" s="2" t="s">
        <v>29</v>
      </c>
      <c r="F19" s="2" t="s">
        <v>21</v>
      </c>
      <c r="G19" s="2" t="s">
        <v>51</v>
      </c>
      <c r="H19" s="4">
        <v>2</v>
      </c>
      <c r="I19" s="4">
        <v>95000</v>
      </c>
      <c r="J19" s="4">
        <v>190000</v>
      </c>
    </row>
    <row r="20" spans="2:10" x14ac:dyDescent="0.25">
      <c r="B20" s="2" t="s">
        <v>52</v>
      </c>
      <c r="C20" s="3">
        <v>46049</v>
      </c>
      <c r="D20" s="2" t="s">
        <v>9</v>
      </c>
      <c r="E20" s="2" t="s">
        <v>15</v>
      </c>
      <c r="F20" s="2" t="s">
        <v>16</v>
      </c>
      <c r="G20" s="2" t="s">
        <v>53</v>
      </c>
      <c r="H20" s="4">
        <v>4</v>
      </c>
      <c r="I20" s="4">
        <v>78000</v>
      </c>
      <c r="J20" s="4">
        <v>312000</v>
      </c>
    </row>
    <row r="21" spans="2:10" x14ac:dyDescent="0.25">
      <c r="B21" s="2" t="s">
        <v>54</v>
      </c>
      <c r="C21" s="3">
        <v>46050</v>
      </c>
      <c r="D21" s="2" t="s">
        <v>19</v>
      </c>
      <c r="E21" s="2" t="s">
        <v>10</v>
      </c>
      <c r="F21" s="2" t="s">
        <v>25</v>
      </c>
      <c r="G21" s="2" t="s">
        <v>55</v>
      </c>
      <c r="H21" s="4">
        <v>9</v>
      </c>
      <c r="I21" s="4">
        <v>9500</v>
      </c>
      <c r="J21" s="4">
        <v>85500</v>
      </c>
    </row>
    <row r="22" spans="2:10" x14ac:dyDescent="0.25">
      <c r="B22" s="2" t="s">
        <v>56</v>
      </c>
      <c r="C22" s="3">
        <v>46051</v>
      </c>
      <c r="D22" s="2" t="s">
        <v>38</v>
      </c>
      <c r="E22" s="2" t="s">
        <v>20</v>
      </c>
      <c r="F22" s="2" t="s">
        <v>11</v>
      </c>
      <c r="G22" s="2" t="s">
        <v>57</v>
      </c>
      <c r="H22" s="4">
        <v>2</v>
      </c>
      <c r="I22" s="4">
        <v>88000</v>
      </c>
      <c r="J22" s="4">
        <v>176000</v>
      </c>
    </row>
    <row r="23" spans="2:10" x14ac:dyDescent="0.25">
      <c r="B23" s="2" t="s">
        <v>58</v>
      </c>
      <c r="C23" s="3">
        <v>46052</v>
      </c>
      <c r="D23" s="2" t="s">
        <v>28</v>
      </c>
      <c r="E23" s="2" t="s">
        <v>24</v>
      </c>
      <c r="F23" s="2" t="s">
        <v>16</v>
      </c>
      <c r="G23" s="2" t="s">
        <v>59</v>
      </c>
      <c r="H23" s="4">
        <v>5</v>
      </c>
      <c r="I23" s="4">
        <v>65000</v>
      </c>
      <c r="J23" s="4">
        <v>325000</v>
      </c>
    </row>
    <row r="24" spans="2:10" x14ac:dyDescent="0.25">
      <c r="B24" s="2" t="s">
        <v>60</v>
      </c>
      <c r="C24" s="3">
        <v>46053</v>
      </c>
      <c r="D24" s="2" t="s">
        <v>14</v>
      </c>
      <c r="E24" s="2" t="s">
        <v>29</v>
      </c>
      <c r="F24" s="2" t="s">
        <v>25</v>
      </c>
      <c r="G24" s="2" t="s">
        <v>61</v>
      </c>
      <c r="H24" s="4">
        <v>20</v>
      </c>
      <c r="I24" s="4">
        <v>2200</v>
      </c>
      <c r="J24" s="4">
        <v>44000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BFE1-B5A0-4CB1-B4E5-D38074F3BFA5}">
  <dimension ref="A1:L14"/>
  <sheetViews>
    <sheetView workbookViewId="0">
      <selection activeCell="O10" sqref="O10"/>
    </sheetView>
  </sheetViews>
  <sheetFormatPr defaultRowHeight="15" x14ac:dyDescent="0.25"/>
  <cols>
    <col min="1" max="1" width="26.5703125" customWidth="1"/>
    <col min="2" max="2" width="17.7109375" bestFit="1" customWidth="1"/>
    <col min="11" max="11" width="26.140625" customWidth="1"/>
    <col min="12" max="12" width="17.7109375" bestFit="1" customWidth="1"/>
  </cols>
  <sheetData>
    <row r="1" spans="1:12" ht="21" x14ac:dyDescent="0.35">
      <c r="A1" s="14" t="s">
        <v>68</v>
      </c>
    </row>
    <row r="3" spans="1:12" x14ac:dyDescent="0.25">
      <c r="A3" s="6" t="s">
        <v>63</v>
      </c>
      <c r="B3" t="s">
        <v>65</v>
      </c>
    </row>
    <row r="4" spans="1:12" x14ac:dyDescent="0.25">
      <c r="A4" s="7" t="s">
        <v>19</v>
      </c>
      <c r="B4" s="8">
        <v>1101500</v>
      </c>
    </row>
    <row r="5" spans="1:12" x14ac:dyDescent="0.25">
      <c r="A5" s="7" t="s">
        <v>9</v>
      </c>
      <c r="B5" s="8">
        <v>1164000</v>
      </c>
    </row>
    <row r="6" spans="1:12" x14ac:dyDescent="0.25">
      <c r="A6" s="7" t="s">
        <v>14</v>
      </c>
      <c r="B6" s="8">
        <v>1663000</v>
      </c>
    </row>
    <row r="7" spans="1:12" ht="21" x14ac:dyDescent="0.35">
      <c r="A7" s="7" t="s">
        <v>28</v>
      </c>
      <c r="B7" s="8">
        <v>645000</v>
      </c>
      <c r="K7" s="14" t="s">
        <v>69</v>
      </c>
    </row>
    <row r="8" spans="1:12" x14ac:dyDescent="0.25">
      <c r="A8" s="7" t="s">
        <v>38</v>
      </c>
      <c r="B8" s="8">
        <v>968000</v>
      </c>
    </row>
    <row r="9" spans="1:12" x14ac:dyDescent="0.25">
      <c r="A9" s="7" t="s">
        <v>64</v>
      </c>
      <c r="B9" s="8">
        <v>5541500</v>
      </c>
      <c r="K9" s="6" t="s">
        <v>63</v>
      </c>
      <c r="L9" t="s">
        <v>65</v>
      </c>
    </row>
    <row r="10" spans="1:12" x14ac:dyDescent="0.25">
      <c r="K10" s="7" t="s">
        <v>25</v>
      </c>
      <c r="L10" s="8">
        <v>275500</v>
      </c>
    </row>
    <row r="11" spans="1:12" x14ac:dyDescent="0.25">
      <c r="K11" s="7" t="s">
        <v>11</v>
      </c>
      <c r="L11" s="8">
        <v>1678000</v>
      </c>
    </row>
    <row r="12" spans="1:12" x14ac:dyDescent="0.25">
      <c r="K12" s="7" t="s">
        <v>16</v>
      </c>
      <c r="L12" s="8">
        <v>2498000</v>
      </c>
    </row>
    <row r="13" spans="1:12" x14ac:dyDescent="0.25">
      <c r="K13" s="7" t="s">
        <v>21</v>
      </c>
      <c r="L13" s="8">
        <v>1090000</v>
      </c>
    </row>
    <row r="14" spans="1:12" x14ac:dyDescent="0.25">
      <c r="K14" s="7" t="s">
        <v>64</v>
      </c>
      <c r="L14" s="8">
        <v>5541500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9CAD-7C21-49A1-BEB1-026D313EB041}">
  <dimension ref="B2:H5"/>
  <sheetViews>
    <sheetView showGridLines="0" zoomScale="64" zoomScaleNormal="64" workbookViewId="0">
      <selection activeCell="Z26" sqref="Z26"/>
    </sheetView>
  </sheetViews>
  <sheetFormatPr defaultRowHeight="15" x14ac:dyDescent="0.25"/>
  <cols>
    <col min="2" max="2" width="21.7109375" bestFit="1" customWidth="1"/>
  </cols>
  <sheetData>
    <row r="2" spans="2:8" ht="26.25" x14ac:dyDescent="0.4">
      <c r="B2" s="9" t="s">
        <v>66</v>
      </c>
      <c r="C2" s="9"/>
      <c r="D2" s="9"/>
      <c r="H2" s="13"/>
    </row>
    <row r="4" spans="2:8" ht="15.75" x14ac:dyDescent="0.25">
      <c r="B4" s="11"/>
      <c r="D4" s="10"/>
      <c r="E4" s="10"/>
    </row>
    <row r="5" spans="2:8" ht="24" x14ac:dyDescent="0.25">
      <c r="B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 Sheikh</dc:creator>
  <cp:lastModifiedBy>Marvi Sheikh</cp:lastModifiedBy>
  <dcterms:created xsi:type="dcterms:W3CDTF">2026-07-14T15:44:23Z</dcterms:created>
  <dcterms:modified xsi:type="dcterms:W3CDTF">2026-07-15T03:15:16Z</dcterms:modified>
</cp:coreProperties>
</file>